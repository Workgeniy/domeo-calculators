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okolova Alisa\Desktop\Отдел расчета спецификаций\"/>
    </mc:Choice>
  </mc:AlternateContent>
  <xr:revisionPtr revIDLastSave="0" documentId="13_ncr:1_{B0D6646B-352A-4DFD-A87A-E7B434984B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Калькулятор" sheetId="1" r:id="rId1"/>
    <sheet name="Справочник" sheetId="2" r:id="rId2"/>
    <sheet name="Коэффициенты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G37" i="1"/>
  <c r="F37" i="1"/>
  <c r="E37" i="1"/>
  <c r="D37" i="1"/>
  <c r="C37" i="1"/>
  <c r="B37" i="1"/>
  <c r="H41" i="1"/>
  <c r="G41" i="1"/>
  <c r="F41" i="1"/>
  <c r="E41" i="1"/>
  <c r="D41" i="1"/>
  <c r="C41" i="1"/>
  <c r="B41" i="1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6" i="1"/>
  <c r="G36" i="1"/>
  <c r="F36" i="1"/>
  <c r="E36" i="1"/>
  <c r="D36" i="1"/>
  <c r="B36" i="1"/>
  <c r="H35" i="1"/>
  <c r="G35" i="1"/>
  <c r="F35" i="1"/>
  <c r="E35" i="1"/>
  <c r="D35" i="1"/>
  <c r="C35" i="1"/>
  <c r="C36" i="1" s="1"/>
  <c r="B35" i="1"/>
  <c r="H33" i="1"/>
  <c r="G33" i="1"/>
  <c r="F33" i="1"/>
  <c r="E33" i="1"/>
  <c r="D33" i="1"/>
  <c r="C33" i="1"/>
  <c r="B33" i="1"/>
  <c r="H32" i="1"/>
  <c r="G32" i="1"/>
  <c r="G34" i="1" s="1"/>
  <c r="F32" i="1"/>
  <c r="F34" i="1" s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E34" i="1" s="1"/>
  <c r="D30" i="1"/>
  <c r="D34" i="1" s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34" i="1" l="1"/>
  <c r="C34" i="1"/>
  <c r="B34" i="1"/>
  <c r="I26" i="1"/>
  <c r="I36" i="1"/>
  <c r="I27" i="1"/>
  <c r="I29" i="1"/>
  <c r="I30" i="1"/>
  <c r="I35" i="1"/>
  <c r="I37" i="1"/>
  <c r="I38" i="1"/>
  <c r="I39" i="1"/>
  <c r="I41" i="1"/>
  <c r="I40" i="1" l="1"/>
  <c r="I33" i="1"/>
  <c r="I32" i="1"/>
  <c r="I31" i="1"/>
  <c r="I28" i="1"/>
  <c r="I34" i="1" l="1"/>
</calcChain>
</file>

<file path=xl/sharedStrings.xml><?xml version="1.0" encoding="utf-8"?>
<sst xmlns="http://schemas.openxmlformats.org/spreadsheetml/2006/main" count="236" uniqueCount="88">
  <si>
    <t>Параметр</t>
  </si>
  <si>
    <t>Значение</t>
  </si>
  <si>
    <t>Тип комнаты</t>
  </si>
  <si>
    <t>Площадь, м²</t>
  </si>
  <si>
    <t>Кол-во ТВ</t>
  </si>
  <si>
    <t>Кол-во компьютеров</t>
  </si>
  <si>
    <t>Кол-во торшеров</t>
  </si>
  <si>
    <t>Кол-во настольных светильников</t>
  </si>
  <si>
    <t>Пылесос (да/нет)</t>
  </si>
  <si>
    <t>Стиральная машина</t>
  </si>
  <si>
    <t>Сушильная машина</t>
  </si>
  <si>
    <t>Духовка</t>
  </si>
  <si>
    <t>Варочная поверхность</t>
  </si>
  <si>
    <t>Вытяжка</t>
  </si>
  <si>
    <t>Посудомоечная машина</t>
  </si>
  <si>
    <t>Холодильник</t>
  </si>
  <si>
    <t>Микроволновая печь</t>
  </si>
  <si>
    <t>Учесть мелкую технику</t>
  </si>
  <si>
    <t>Уровень комфорта</t>
  </si>
  <si>
    <t>Трековое освещение</t>
  </si>
  <si>
    <t>Точечное освещение</t>
  </si>
  <si>
    <t>Подвесное освещение</t>
  </si>
  <si>
    <t>Люстра</t>
  </si>
  <si>
    <t>Бра</t>
  </si>
  <si>
    <t>Светодиодная лента в нишах</t>
  </si>
  <si>
    <t>Коэф. базовых розеток (на м²)</t>
  </si>
  <si>
    <t>Коэф. трека (линий)</t>
  </si>
  <si>
    <t>Шаг трековых светильников, м</t>
  </si>
  <si>
    <t>Базовое кол-во групп света</t>
  </si>
  <si>
    <t>Влагозащита (да/нет)</t>
  </si>
  <si>
    <t>Розетка для пылесоса (обязат.)</t>
  </si>
  <si>
    <t>Розетка ТВ (по умолч.)</t>
  </si>
  <si>
    <t>Розетка Интернет (по умолч.)</t>
  </si>
  <si>
    <t>Прихожая</t>
  </si>
  <si>
    <t>Нет</t>
  </si>
  <si>
    <t>Да</t>
  </si>
  <si>
    <t>Санузел</t>
  </si>
  <si>
    <t>Гостиная</t>
  </si>
  <si>
    <t>2.0</t>
  </si>
  <si>
    <t>Кухня-гостиная</t>
  </si>
  <si>
    <t>Кухня</t>
  </si>
  <si>
    <t>Спальня</t>
  </si>
  <si>
    <t>Детская</t>
  </si>
  <si>
    <t>Коэф. комфорта Эконом</t>
  </si>
  <si>
    <t>Коэф. комфорта Стандарт</t>
  </si>
  <si>
    <t>Коэф. комфорта Премиум</t>
  </si>
  <si>
    <t>Розеток на ТВ-зону</t>
  </si>
  <si>
    <t>Розеток на компьютер</t>
  </si>
  <si>
    <t>Розеток на торшер</t>
  </si>
  <si>
    <t>Розеток на настольный светильник</t>
  </si>
  <si>
    <t>Розеток для пылесоса</t>
  </si>
  <si>
    <t>Розеток для стиральной машины</t>
  </si>
  <si>
    <t>Розеток для сушильной машины</t>
  </si>
  <si>
    <t>Розеток для духовки</t>
  </si>
  <si>
    <t>Розеток для варочной поверхности</t>
  </si>
  <si>
    <t>Розеток для вытяжки</t>
  </si>
  <si>
    <t>Розеток для посудомойки</t>
  </si>
  <si>
    <t>Розеток для холодильника</t>
  </si>
  <si>
    <t>Розеток для микроволновки</t>
  </si>
  <si>
    <t>Розеток на фартук кухни (мелкая техника)</t>
  </si>
  <si>
    <t>Запас светодиодной ленты на окно, м</t>
  </si>
  <si>
    <t>0.4</t>
  </si>
  <si>
    <t>Ширина окна по умолчанию, м</t>
  </si>
  <si>
    <t>Шаг точечных светильников, м</t>
  </si>
  <si>
    <t>Площадь на один точечный светильник, м²</t>
  </si>
  <si>
    <t>Площадь на одну люстру, м²</t>
  </si>
  <si>
    <t>Площадь на одно бра, м²</t>
  </si>
  <si>
    <t>Результат</t>
  </si>
  <si>
    <t>Обычные розетки</t>
  </si>
  <si>
    <t>Влагозащищенные розетки</t>
  </si>
  <si>
    <t>Розетки ТВ</t>
  </si>
  <si>
    <t>Розетки Интернет</t>
  </si>
  <si>
    <t>Одноклавишные выключатели</t>
  </si>
  <si>
    <t>Двухклавишные выключатели</t>
  </si>
  <si>
    <t>Проходные выключатели</t>
  </si>
  <si>
    <t>Перекрестные выключатели</t>
  </si>
  <si>
    <t>Количество рамок</t>
  </si>
  <si>
    <t>Метраж шинопровода</t>
  </si>
  <si>
    <t>Кол-во трековых светильников</t>
  </si>
  <si>
    <t>Кол-во точечных светильников</t>
  </si>
  <si>
    <t>Метраж светодиодной ленты</t>
  </si>
  <si>
    <t>Кол-во люстр</t>
  </si>
  <si>
    <t>Кол-во подвесных светильников</t>
  </si>
  <si>
    <t>Кол-во бра</t>
  </si>
  <si>
    <t>Стандарт</t>
  </si>
  <si>
    <t>Ванная комната</t>
  </si>
  <si>
    <t>Итого</t>
  </si>
  <si>
    <t>Лоджия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</si>
</sst>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b/>
      <sz val="9"/>
      <color rgb="FF0F1115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2" fontId="0" fillId="0" borderId="0" xfId="0" applyNumberFormat="1"/>
    <xf numFmtId="2" fontId="2" fillId="2" borderId="1" xfId="0" applyNumberFormat="1" applyFont="1" applyFill="1" applyBorder="1" applyAlignment="1">
      <alignment horizontal="left" vertical="center" wrapText="1" indent="1"/>
    </xf>
    <xf numFmtId="2" fontId="1" fillId="2" borderId="1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" fontId="1" fillId="2" borderId="1" xfId="0" applyNumberFormat="1" applyFont="1" applyFill="1" applyBorder="1" applyAlignment="1">
      <alignment horizontal="left" vertical="center" wrapText="1" indent="1"/>
    </xf>
    <xf numFmtId="1" fontId="3" fillId="4" borderId="1" xfId="0" applyNumberFormat="1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left" vertical="center" wrapText="1" indent="1"/>
    </xf>
    <xf numFmtId="0" fontId="1" fillId="5" borderId="3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I17" sqref="I17"/>
    </sheetView>
  </sheetViews>
  <sheetFormatPr defaultRowHeight="14.4" x14ac:dyDescent="0.3"/>
  <cols>
    <col min="1" max="1" width="26.44140625" customWidth="1"/>
    <col min="2" max="8" width="17.109375" customWidth="1"/>
    <col min="9" max="9" width="17.33203125" customWidth="1"/>
  </cols>
  <sheetData>
    <row r="1" spans="1:8" x14ac:dyDescent="0.3">
      <c r="A1" s="6" t="s">
        <v>0</v>
      </c>
      <c r="B1" s="6" t="s">
        <v>1</v>
      </c>
      <c r="C1" s="7"/>
      <c r="D1" s="7"/>
      <c r="E1" s="7"/>
      <c r="F1" s="7"/>
      <c r="G1" s="7"/>
      <c r="H1" s="8"/>
    </row>
    <row r="2" spans="1:8" x14ac:dyDescent="0.3">
      <c r="A2" s="12" t="s">
        <v>2</v>
      </c>
      <c r="B2" s="13" t="s">
        <v>33</v>
      </c>
      <c r="C2" s="13" t="s">
        <v>40</v>
      </c>
      <c r="D2" s="13" t="s">
        <v>37</v>
      </c>
      <c r="E2" s="13" t="s">
        <v>41</v>
      </c>
      <c r="F2" s="13" t="s">
        <v>36</v>
      </c>
      <c r="G2" s="13" t="s">
        <v>85</v>
      </c>
      <c r="H2" s="13" t="s">
        <v>87</v>
      </c>
    </row>
    <row r="3" spans="1:8" x14ac:dyDescent="0.3">
      <c r="A3" s="2" t="s">
        <v>3</v>
      </c>
      <c r="B3" s="2">
        <v>9.9</v>
      </c>
      <c r="C3" s="2">
        <v>11.3</v>
      </c>
      <c r="D3" s="2">
        <v>13.3</v>
      </c>
      <c r="E3" s="2">
        <v>17.5</v>
      </c>
      <c r="F3" s="2">
        <v>1.2</v>
      </c>
      <c r="G3" s="2">
        <v>4.5999999999999996</v>
      </c>
      <c r="H3" s="2">
        <v>2.2000000000000002</v>
      </c>
    </row>
    <row r="4" spans="1:8" x14ac:dyDescent="0.3">
      <c r="A4" s="2" t="s">
        <v>4</v>
      </c>
      <c r="B4" s="2">
        <v>0</v>
      </c>
      <c r="C4" s="2">
        <v>0</v>
      </c>
      <c r="D4" s="2">
        <v>1</v>
      </c>
      <c r="E4" s="2">
        <v>1</v>
      </c>
      <c r="F4" s="2">
        <v>0</v>
      </c>
      <c r="G4" s="2">
        <v>0</v>
      </c>
      <c r="H4" s="2">
        <v>0</v>
      </c>
    </row>
    <row r="5" spans="1:8" x14ac:dyDescent="0.3">
      <c r="A5" s="2" t="s">
        <v>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</row>
    <row r="6" spans="1:8" x14ac:dyDescent="0.3">
      <c r="A6" s="2" t="s">
        <v>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ht="26.4" x14ac:dyDescent="0.3">
      <c r="A7" s="2" t="s">
        <v>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 s="2" t="s">
        <v>8</v>
      </c>
      <c r="B8" s="2" t="s">
        <v>35</v>
      </c>
      <c r="C8" s="2" t="s">
        <v>35</v>
      </c>
      <c r="D8" s="2" t="s">
        <v>35</v>
      </c>
      <c r="E8" s="2" t="s">
        <v>35</v>
      </c>
      <c r="F8" s="2" t="s">
        <v>34</v>
      </c>
      <c r="G8" s="2" t="s">
        <v>34</v>
      </c>
      <c r="H8" s="2" t="s">
        <v>34</v>
      </c>
    </row>
    <row r="9" spans="1:8" x14ac:dyDescent="0.3">
      <c r="A9" s="2" t="s">
        <v>9</v>
      </c>
      <c r="B9" s="2" t="s">
        <v>34</v>
      </c>
      <c r="C9" s="2" t="s">
        <v>34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</row>
    <row r="10" spans="1:8" x14ac:dyDescent="0.3">
      <c r="A10" s="2" t="s">
        <v>10</v>
      </c>
      <c r="B10" s="2" t="s">
        <v>34</v>
      </c>
      <c r="C10" s="2" t="s">
        <v>34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</row>
    <row r="11" spans="1:8" x14ac:dyDescent="0.3">
      <c r="A11" s="2" t="s">
        <v>11</v>
      </c>
      <c r="B11" s="2" t="s">
        <v>34</v>
      </c>
      <c r="C11" s="2" t="s">
        <v>35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</row>
    <row r="12" spans="1:8" x14ac:dyDescent="0.3">
      <c r="A12" s="2" t="s">
        <v>12</v>
      </c>
      <c r="B12" s="2" t="s">
        <v>34</v>
      </c>
      <c r="C12" s="2" t="s">
        <v>35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</row>
    <row r="13" spans="1:8" x14ac:dyDescent="0.3">
      <c r="A13" s="2" t="s">
        <v>13</v>
      </c>
      <c r="B13" s="2" t="s">
        <v>34</v>
      </c>
      <c r="C13" s="2" t="s">
        <v>35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</row>
    <row r="14" spans="1:8" x14ac:dyDescent="0.3">
      <c r="A14" s="2" t="s">
        <v>14</v>
      </c>
      <c r="B14" s="2" t="s">
        <v>34</v>
      </c>
      <c r="C14" s="2" t="s">
        <v>35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</row>
    <row r="15" spans="1:8" x14ac:dyDescent="0.3">
      <c r="A15" s="2" t="s">
        <v>15</v>
      </c>
      <c r="B15" s="2" t="s">
        <v>34</v>
      </c>
      <c r="C15" s="2" t="s">
        <v>35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</row>
    <row r="16" spans="1:8" x14ac:dyDescent="0.3">
      <c r="A16" s="2" t="s">
        <v>16</v>
      </c>
      <c r="B16" s="2" t="s">
        <v>34</v>
      </c>
      <c r="C16" s="2" t="s">
        <v>35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</row>
    <row r="17" spans="1:9" x14ac:dyDescent="0.3">
      <c r="A17" s="2" t="s">
        <v>17</v>
      </c>
      <c r="B17" s="2" t="s">
        <v>34</v>
      </c>
      <c r="C17" s="2" t="s">
        <v>35</v>
      </c>
      <c r="D17" s="2" t="s">
        <v>35</v>
      </c>
      <c r="E17" s="2" t="s">
        <v>35</v>
      </c>
      <c r="F17" s="2" t="s">
        <v>34</v>
      </c>
      <c r="G17" s="2" t="s">
        <v>35</v>
      </c>
      <c r="H17" s="2" t="s">
        <v>35</v>
      </c>
    </row>
    <row r="18" spans="1:9" x14ac:dyDescent="0.3">
      <c r="A18" s="2" t="s">
        <v>18</v>
      </c>
      <c r="B18" s="2" t="s">
        <v>84</v>
      </c>
      <c r="C18" s="2" t="s">
        <v>84</v>
      </c>
      <c r="D18" s="2" t="s">
        <v>84</v>
      </c>
      <c r="E18" s="2" t="s">
        <v>84</v>
      </c>
      <c r="F18" s="2" t="s">
        <v>84</v>
      </c>
      <c r="G18" s="2" t="s">
        <v>84</v>
      </c>
      <c r="H18" s="2" t="s">
        <v>84</v>
      </c>
    </row>
    <row r="19" spans="1:9" x14ac:dyDescent="0.3">
      <c r="A19" s="2" t="s">
        <v>19</v>
      </c>
      <c r="B19" s="2" t="s">
        <v>34</v>
      </c>
      <c r="C19" s="2" t="s">
        <v>35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</row>
    <row r="20" spans="1:9" x14ac:dyDescent="0.3">
      <c r="A20" s="2" t="s">
        <v>20</v>
      </c>
      <c r="B20" s="2" t="s">
        <v>35</v>
      </c>
      <c r="C20" s="2" t="s">
        <v>34</v>
      </c>
      <c r="D20" s="2" t="s">
        <v>35</v>
      </c>
      <c r="E20" s="2" t="s">
        <v>35</v>
      </c>
      <c r="F20" s="2" t="s">
        <v>35</v>
      </c>
      <c r="G20" s="2" t="s">
        <v>35</v>
      </c>
      <c r="H20" s="2" t="s">
        <v>35</v>
      </c>
    </row>
    <row r="21" spans="1:9" x14ac:dyDescent="0.3">
      <c r="A21" s="2" t="s">
        <v>21</v>
      </c>
      <c r="B21" s="2" t="s">
        <v>35</v>
      </c>
      <c r="C21" s="2" t="s">
        <v>35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</row>
    <row r="22" spans="1:9" x14ac:dyDescent="0.3">
      <c r="A22" s="2" t="s">
        <v>22</v>
      </c>
      <c r="B22" s="2" t="s">
        <v>34</v>
      </c>
      <c r="C22" s="2" t="s">
        <v>34</v>
      </c>
      <c r="D22" s="2" t="s">
        <v>35</v>
      </c>
      <c r="E22" s="2" t="s">
        <v>35</v>
      </c>
      <c r="F22" s="2" t="s">
        <v>34</v>
      </c>
      <c r="G22" s="2" t="s">
        <v>34</v>
      </c>
      <c r="H22" s="2" t="s">
        <v>34</v>
      </c>
    </row>
    <row r="23" spans="1:9" x14ac:dyDescent="0.3">
      <c r="A23" s="2" t="s">
        <v>23</v>
      </c>
      <c r="B23" s="2" t="s">
        <v>34</v>
      </c>
      <c r="C23" s="2" t="s">
        <v>34</v>
      </c>
      <c r="D23" s="2" t="s">
        <v>35</v>
      </c>
      <c r="E23" s="2" t="s">
        <v>35</v>
      </c>
      <c r="F23" s="2" t="s">
        <v>34</v>
      </c>
      <c r="G23" s="2" t="s">
        <v>34</v>
      </c>
      <c r="H23" s="2" t="s">
        <v>34</v>
      </c>
    </row>
    <row r="24" spans="1:9" x14ac:dyDescent="0.3">
      <c r="A24" s="2" t="s">
        <v>24</v>
      </c>
      <c r="B24" s="2" t="s">
        <v>35</v>
      </c>
      <c r="C24" s="2" t="s">
        <v>34</v>
      </c>
      <c r="D24" s="2" t="s">
        <v>35</v>
      </c>
      <c r="E24" s="2" t="s">
        <v>35</v>
      </c>
      <c r="F24" s="2" t="s">
        <v>34</v>
      </c>
      <c r="G24" s="2" t="s">
        <v>34</v>
      </c>
      <c r="H24" s="2" t="s">
        <v>34</v>
      </c>
    </row>
    <row r="25" spans="1:9" x14ac:dyDescent="0.3">
      <c r="A25" s="9" t="s">
        <v>67</v>
      </c>
      <c r="B25" s="9" t="s">
        <v>1</v>
      </c>
      <c r="C25" s="9" t="s">
        <v>1</v>
      </c>
      <c r="D25" s="9" t="s">
        <v>1</v>
      </c>
      <c r="E25" s="9" t="s">
        <v>1</v>
      </c>
      <c r="F25" s="9" t="s">
        <v>1</v>
      </c>
      <c r="G25" s="9" t="s">
        <v>1</v>
      </c>
      <c r="H25" s="9" t="s">
        <v>1</v>
      </c>
      <c r="I25" s="9" t="s">
        <v>86</v>
      </c>
    </row>
    <row r="26" spans="1:9" ht="32.4" customHeight="1" x14ac:dyDescent="0.3">
      <c r="A26" s="2" t="s">
        <v>68</v>
      </c>
      <c r="B26" s="10">
        <f t="shared" ref="B26:H26" si="0">IF(B18="",0,CEILING((B3/5)*IF(B18="Эконом",0.8,IF(B18="Стандарт",1,1.25))+IF(B8="Да",1,0)+IF(B9="Да",1,0)+IF(B10="Да",1,0)+IF(B11="Да",1,0)+IF(B12="Да",1,0)+IF(B13="Да",1,0)+IF(B14="Да",1,0)+IF(B15="Да",1,0)+IF(B16="Да",1,0)+IF(B17="Да",3,0)+B4*2+B5*3+B6*1+B7*1,1))</f>
        <v>3</v>
      </c>
      <c r="C26" s="10">
        <f t="shared" si="0"/>
        <v>13</v>
      </c>
      <c r="D26" s="10">
        <f t="shared" si="0"/>
        <v>9</v>
      </c>
      <c r="E26" s="10">
        <f t="shared" si="0"/>
        <v>10</v>
      </c>
      <c r="F26" s="10">
        <f t="shared" si="0"/>
        <v>1</v>
      </c>
      <c r="G26" s="10">
        <f t="shared" si="0"/>
        <v>4</v>
      </c>
      <c r="H26" s="10">
        <f t="shared" si="0"/>
        <v>7</v>
      </c>
      <c r="I26" s="11">
        <f>SUM(B26:H26)</f>
        <v>47</v>
      </c>
    </row>
    <row r="27" spans="1:9" ht="32.4" customHeight="1" x14ac:dyDescent="0.3">
      <c r="A27" s="2" t="s">
        <v>69</v>
      </c>
      <c r="B27" s="10">
        <f t="shared" ref="B27:H27" si="1">IF(B18="",0,IF(OR(B2="Санузел",B2="Ванная",B2="Душевая"),CEILING((IF(B9="Да",1,0)+IF(B10="Да",1,0)+1)*IF(B18="Эконом",0.8,IF(B18="Стандарт",1,1.25)),1),0))</f>
        <v>0</v>
      </c>
      <c r="C27" s="10">
        <f t="shared" si="1"/>
        <v>0</v>
      </c>
      <c r="D27" s="10">
        <f t="shared" si="1"/>
        <v>0</v>
      </c>
      <c r="E27" s="10">
        <f t="shared" si="1"/>
        <v>0</v>
      </c>
      <c r="F27" s="10">
        <f t="shared" si="1"/>
        <v>1</v>
      </c>
      <c r="G27" s="10">
        <f t="shared" si="1"/>
        <v>0</v>
      </c>
      <c r="H27" s="10">
        <f t="shared" si="1"/>
        <v>0</v>
      </c>
      <c r="I27" s="11">
        <f t="shared" ref="I27:I41" si="2">SUM(B27:H27)</f>
        <v>1</v>
      </c>
    </row>
    <row r="28" spans="1:9" ht="32.4" customHeight="1" x14ac:dyDescent="0.3">
      <c r="A28" s="2" t="s">
        <v>70</v>
      </c>
      <c r="B28" s="10">
        <f t="shared" ref="B28:H28" si="3">IF(B18="",0,CEILING(B4*2+IF(B4&gt;0,1,0),1))</f>
        <v>0</v>
      </c>
      <c r="C28" s="10">
        <f t="shared" si="3"/>
        <v>0</v>
      </c>
      <c r="D28" s="10">
        <f t="shared" si="3"/>
        <v>3</v>
      </c>
      <c r="E28" s="10">
        <f t="shared" si="3"/>
        <v>3</v>
      </c>
      <c r="F28" s="10">
        <f t="shared" si="3"/>
        <v>0</v>
      </c>
      <c r="G28" s="10">
        <f t="shared" si="3"/>
        <v>0</v>
      </c>
      <c r="H28" s="10">
        <f t="shared" si="3"/>
        <v>0</v>
      </c>
      <c r="I28" s="11">
        <f t="shared" si="2"/>
        <v>6</v>
      </c>
    </row>
    <row r="29" spans="1:9" ht="32.4" customHeight="1" x14ac:dyDescent="0.3">
      <c r="A29" s="2" t="s">
        <v>71</v>
      </c>
      <c r="B29" s="10">
        <f t="shared" ref="B29:H29" si="4">IF(B18="",0,CEILING(B5*1+IF(B5&gt;0,1,0),1))</f>
        <v>0</v>
      </c>
      <c r="C29" s="10">
        <f t="shared" si="4"/>
        <v>0</v>
      </c>
      <c r="D29" s="10">
        <f t="shared" si="4"/>
        <v>0</v>
      </c>
      <c r="E29" s="10">
        <f t="shared" si="4"/>
        <v>0</v>
      </c>
      <c r="F29" s="10">
        <f t="shared" si="4"/>
        <v>0</v>
      </c>
      <c r="G29" s="10">
        <f t="shared" si="4"/>
        <v>0</v>
      </c>
      <c r="H29" s="10">
        <f t="shared" si="4"/>
        <v>2</v>
      </c>
      <c r="I29" s="11">
        <f t="shared" si="2"/>
        <v>2</v>
      </c>
    </row>
    <row r="30" spans="1:9" ht="32.4" customHeight="1" x14ac:dyDescent="0.3">
      <c r="A30" s="2" t="s">
        <v>72</v>
      </c>
      <c r="B30" s="10">
        <f t="shared" ref="B30:H30" si="5">IF(B18="",0,CEILING(1*IF(B18="Эконом",0.8,IF(B18="Стандарт",1,1.25))+IF(B23="Да",1,0)+IF(B24="Да",1,0),1))</f>
        <v>2</v>
      </c>
      <c r="C30" s="10">
        <f t="shared" si="5"/>
        <v>1</v>
      </c>
      <c r="D30" s="10">
        <f t="shared" si="5"/>
        <v>3</v>
      </c>
      <c r="E30" s="10">
        <f t="shared" si="5"/>
        <v>3</v>
      </c>
      <c r="F30" s="10">
        <f t="shared" si="5"/>
        <v>1</v>
      </c>
      <c r="G30" s="10">
        <f t="shared" si="5"/>
        <v>1</v>
      </c>
      <c r="H30" s="10">
        <f t="shared" si="5"/>
        <v>1</v>
      </c>
      <c r="I30" s="11">
        <f t="shared" si="2"/>
        <v>12</v>
      </c>
    </row>
    <row r="31" spans="1:9" ht="32.4" customHeight="1" x14ac:dyDescent="0.3">
      <c r="A31" s="2" t="s">
        <v>73</v>
      </c>
      <c r="B31" s="10">
        <f t="shared" ref="B31:H31" si="6">IF(B18="",0,CEILING(IF(OR(B2="Кухня-гостиная",B2="Гостиная",B2="Спальня",B2="Детская"),1,0)+IF(AND(B2="Спальня",B23="Да"),1,0),1))</f>
        <v>0</v>
      </c>
      <c r="C31" s="10">
        <f t="shared" si="6"/>
        <v>0</v>
      </c>
      <c r="D31" s="10">
        <f t="shared" si="6"/>
        <v>1</v>
      </c>
      <c r="E31" s="10">
        <f t="shared" si="6"/>
        <v>2</v>
      </c>
      <c r="F31" s="10">
        <f t="shared" si="6"/>
        <v>0</v>
      </c>
      <c r="G31" s="10">
        <f t="shared" si="6"/>
        <v>0</v>
      </c>
      <c r="H31" s="10">
        <f t="shared" si="6"/>
        <v>0</v>
      </c>
      <c r="I31" s="11">
        <f t="shared" si="2"/>
        <v>3</v>
      </c>
    </row>
    <row r="32" spans="1:9" ht="32.4" customHeight="1" x14ac:dyDescent="0.3">
      <c r="A32" s="2" t="s">
        <v>74</v>
      </c>
      <c r="B32" s="10">
        <f t="shared" ref="B32:H32" si="7">IF(B18="",0,CEILING(IF(OR(B2="Спальня",B2="Кухня-гостиная",B2="Гостиная",B2="Детская"),2,0)+IF(B2="Прихожая",1,0),1))</f>
        <v>1</v>
      </c>
      <c r="C32" s="10">
        <f t="shared" si="7"/>
        <v>0</v>
      </c>
      <c r="D32" s="10">
        <f t="shared" si="7"/>
        <v>2</v>
      </c>
      <c r="E32" s="10">
        <f t="shared" si="7"/>
        <v>2</v>
      </c>
      <c r="F32" s="10">
        <f t="shared" si="7"/>
        <v>0</v>
      </c>
      <c r="G32" s="10">
        <f t="shared" si="7"/>
        <v>0</v>
      </c>
      <c r="H32" s="10">
        <f t="shared" si="7"/>
        <v>0</v>
      </c>
      <c r="I32" s="11">
        <f t="shared" si="2"/>
        <v>5</v>
      </c>
    </row>
    <row r="33" spans="1:9" ht="32.4" customHeight="1" x14ac:dyDescent="0.3">
      <c r="A33" s="2" t="s">
        <v>75</v>
      </c>
      <c r="B33" s="10">
        <f t="shared" ref="B33:H33" si="8">IF(B18="",0,0)</f>
        <v>0</v>
      </c>
      <c r="C33" s="10">
        <f t="shared" si="8"/>
        <v>0</v>
      </c>
      <c r="D33" s="10">
        <f t="shared" si="8"/>
        <v>0</v>
      </c>
      <c r="E33" s="10">
        <f t="shared" si="8"/>
        <v>0</v>
      </c>
      <c r="F33" s="10">
        <f t="shared" si="8"/>
        <v>0</v>
      </c>
      <c r="G33" s="10">
        <f t="shared" si="8"/>
        <v>0</v>
      </c>
      <c r="H33" s="10">
        <f t="shared" si="8"/>
        <v>0</v>
      </c>
      <c r="I33" s="11">
        <f t="shared" si="2"/>
        <v>0</v>
      </c>
    </row>
    <row r="34" spans="1:9" ht="32.4" customHeight="1" x14ac:dyDescent="0.3">
      <c r="A34" s="2" t="s">
        <v>76</v>
      </c>
      <c r="B34" s="10">
        <f t="shared" ref="B34:H34" si="9">IF(B18="",0,B30+B31+B32+B33+B29+B28+B27+B26)</f>
        <v>6</v>
      </c>
      <c r="C34" s="10">
        <f t="shared" si="9"/>
        <v>14</v>
      </c>
      <c r="D34" s="10">
        <f t="shared" si="9"/>
        <v>18</v>
      </c>
      <c r="E34" s="10">
        <f t="shared" si="9"/>
        <v>20</v>
      </c>
      <c r="F34" s="10">
        <f t="shared" si="9"/>
        <v>3</v>
      </c>
      <c r="G34" s="10">
        <f t="shared" si="9"/>
        <v>5</v>
      </c>
      <c r="H34" s="10">
        <f t="shared" si="9"/>
        <v>10</v>
      </c>
      <c r="I34" s="11">
        <f t="shared" si="2"/>
        <v>76</v>
      </c>
    </row>
    <row r="35" spans="1:9" ht="32.4" customHeight="1" x14ac:dyDescent="0.3">
      <c r="A35" s="2" t="s">
        <v>77</v>
      </c>
      <c r="B35" s="2">
        <f t="shared" ref="B35:H35" si="10">IF(B18="",0,IF(B19="Да",CEILING(1.5*SQRT(B3),1),0))</f>
        <v>0</v>
      </c>
      <c r="C35" s="2">
        <f t="shared" si="10"/>
        <v>6</v>
      </c>
      <c r="D35" s="2">
        <f t="shared" si="10"/>
        <v>0</v>
      </c>
      <c r="E35" s="2">
        <f t="shared" si="10"/>
        <v>0</v>
      </c>
      <c r="F35" s="2">
        <f t="shared" si="10"/>
        <v>0</v>
      </c>
      <c r="G35" s="2">
        <f t="shared" si="10"/>
        <v>0</v>
      </c>
      <c r="H35" s="2">
        <f t="shared" si="10"/>
        <v>0</v>
      </c>
      <c r="I35" s="11">
        <f t="shared" si="2"/>
        <v>6</v>
      </c>
    </row>
    <row r="36" spans="1:9" ht="32.4" customHeight="1" x14ac:dyDescent="0.3">
      <c r="A36" s="2" t="s">
        <v>78</v>
      </c>
      <c r="B36" s="10">
        <f t="shared" ref="B36:H36" si="11">IF(B18="",0,IF(B19="Да",CEILING(B35/1,1),0))</f>
        <v>0</v>
      </c>
      <c r="C36" s="10">
        <f t="shared" si="11"/>
        <v>6</v>
      </c>
      <c r="D36" s="10">
        <f t="shared" si="11"/>
        <v>0</v>
      </c>
      <c r="E36" s="10">
        <f t="shared" si="11"/>
        <v>0</v>
      </c>
      <c r="F36" s="10">
        <f t="shared" si="11"/>
        <v>0</v>
      </c>
      <c r="G36" s="10">
        <f t="shared" si="11"/>
        <v>0</v>
      </c>
      <c r="H36" s="10">
        <f t="shared" si="11"/>
        <v>0</v>
      </c>
      <c r="I36" s="11">
        <f t="shared" si="2"/>
        <v>6</v>
      </c>
    </row>
    <row r="37" spans="1:9" ht="32.4" customHeight="1" x14ac:dyDescent="0.3">
      <c r="A37" s="2" t="s">
        <v>79</v>
      </c>
      <c r="B37" s="10">
        <f t="shared" ref="B37:H37" si="12">IF(B18="",0,IF(B20="Да",MAX(2,CEILING(B3/1.2,1)),0))</f>
        <v>9</v>
      </c>
      <c r="C37" s="10">
        <f t="shared" si="12"/>
        <v>0</v>
      </c>
      <c r="D37" s="10">
        <f t="shared" si="12"/>
        <v>12</v>
      </c>
      <c r="E37" s="10">
        <f t="shared" si="12"/>
        <v>15</v>
      </c>
      <c r="F37" s="10">
        <f t="shared" si="12"/>
        <v>2</v>
      </c>
      <c r="G37" s="10">
        <f t="shared" si="12"/>
        <v>4</v>
      </c>
      <c r="H37" s="10">
        <f t="shared" si="12"/>
        <v>2</v>
      </c>
      <c r="I37" s="11">
        <f t="shared" si="2"/>
        <v>44</v>
      </c>
    </row>
    <row r="38" spans="1:9" ht="32.4" customHeight="1" x14ac:dyDescent="0.3">
      <c r="A38" s="2" t="s">
        <v>80</v>
      </c>
      <c r="B38" s="2">
        <f t="shared" ref="B38:H38" si="13">IF(B18="",0,IF(B24="Да",CEILING(2.4*2,1),0))</f>
        <v>5</v>
      </c>
      <c r="C38" s="2">
        <f t="shared" si="13"/>
        <v>0</v>
      </c>
      <c r="D38" s="2">
        <f t="shared" si="13"/>
        <v>5</v>
      </c>
      <c r="E38" s="2">
        <f t="shared" si="13"/>
        <v>5</v>
      </c>
      <c r="F38" s="2">
        <f t="shared" si="13"/>
        <v>0</v>
      </c>
      <c r="G38" s="2">
        <f t="shared" si="13"/>
        <v>0</v>
      </c>
      <c r="H38" s="2">
        <f t="shared" si="13"/>
        <v>0</v>
      </c>
      <c r="I38" s="11">
        <f t="shared" si="2"/>
        <v>15</v>
      </c>
    </row>
    <row r="39" spans="1:9" ht="32.4" customHeight="1" x14ac:dyDescent="0.3">
      <c r="A39" s="2" t="s">
        <v>81</v>
      </c>
      <c r="B39" s="10">
        <f t="shared" ref="B39:H39" si="14">IF(B18="",0,IF(B22="Да",1,0))</f>
        <v>0</v>
      </c>
      <c r="C39" s="10">
        <f t="shared" si="14"/>
        <v>0</v>
      </c>
      <c r="D39" s="10">
        <f t="shared" si="14"/>
        <v>1</v>
      </c>
      <c r="E39" s="10">
        <f t="shared" si="14"/>
        <v>1</v>
      </c>
      <c r="F39" s="10">
        <f t="shared" si="14"/>
        <v>0</v>
      </c>
      <c r="G39" s="10">
        <f t="shared" si="14"/>
        <v>0</v>
      </c>
      <c r="H39" s="10">
        <f t="shared" si="14"/>
        <v>0</v>
      </c>
      <c r="I39" s="11">
        <f t="shared" si="2"/>
        <v>2</v>
      </c>
    </row>
    <row r="40" spans="1:9" ht="32.4" customHeight="1" x14ac:dyDescent="0.3">
      <c r="A40" s="2" t="s">
        <v>82</v>
      </c>
      <c r="B40" s="10">
        <f t="shared" ref="B40:H40" si="15">IF(B18="",0,IF(B21="Да",CEILING(IF(OR(B2="Кухня",B2="Кухня-гостиная"),2,1),1),0))</f>
        <v>1</v>
      </c>
      <c r="C40" s="10">
        <f t="shared" si="15"/>
        <v>2</v>
      </c>
      <c r="D40" s="10">
        <f t="shared" si="15"/>
        <v>0</v>
      </c>
      <c r="E40" s="10">
        <f t="shared" si="15"/>
        <v>0</v>
      </c>
      <c r="F40" s="10">
        <f t="shared" si="15"/>
        <v>0</v>
      </c>
      <c r="G40" s="10">
        <f t="shared" si="15"/>
        <v>0</v>
      </c>
      <c r="H40" s="10">
        <f t="shared" si="15"/>
        <v>0</v>
      </c>
      <c r="I40" s="11">
        <f t="shared" si="2"/>
        <v>3</v>
      </c>
    </row>
    <row r="41" spans="1:9" ht="32.4" customHeight="1" x14ac:dyDescent="0.3">
      <c r="A41" s="2" t="s">
        <v>83</v>
      </c>
      <c r="B41" s="10">
        <f t="shared" ref="B41:H41" si="16">IF(B18="",0,IF(B23="Да",CEILING(B3/8/2,1)*2,0))</f>
        <v>0</v>
      </c>
      <c r="C41" s="10">
        <f t="shared" si="16"/>
        <v>0</v>
      </c>
      <c r="D41" s="10">
        <f t="shared" si="16"/>
        <v>2</v>
      </c>
      <c r="E41" s="10">
        <f t="shared" si="16"/>
        <v>4</v>
      </c>
      <c r="F41" s="10">
        <f t="shared" si="16"/>
        <v>0</v>
      </c>
      <c r="G41" s="10">
        <f t="shared" si="16"/>
        <v>0</v>
      </c>
      <c r="H41" s="10">
        <f t="shared" si="16"/>
        <v>0</v>
      </c>
      <c r="I41" s="11">
        <f t="shared" si="2"/>
        <v>6</v>
      </c>
    </row>
  </sheetData>
  <dataValidations count="3">
    <dataValidation type="list" allowBlank="1" showInputMessage="1" showErrorMessage="1" sqref="B19:H24 B8:H17" xr:uid="{F30A499D-C056-4493-A8EF-0087D1523B92}">
      <formula1>"Да, Нет"</formula1>
    </dataValidation>
    <dataValidation type="list" allowBlank="1" showInputMessage="1" showErrorMessage="1" sqref="B18:H18" xr:uid="{C7A6B4BD-0DC5-4E3C-856A-39BB57CFB980}">
      <formula1>"Эконом, Стандарт, Премиум"</formula1>
    </dataValidation>
    <dataValidation type="list" allowBlank="1" showInputMessage="1" showErrorMessage="1" sqref="B2:H2" xr:uid="{4D84D556-D107-4DF0-8541-4FA6D122627A}">
      <formula1>"Прихожая,Санузел,Ванная комната,Гостиная,Кухня-гостиная,Кухня,Спальня,Детская,Гардеробная,Лоджия"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B101-E13F-44DA-986A-2B10949E7529}">
  <dimension ref="A1:I11"/>
  <sheetViews>
    <sheetView workbookViewId="0">
      <selection activeCell="B12" sqref="B12"/>
    </sheetView>
  </sheetViews>
  <sheetFormatPr defaultRowHeight="14.4" x14ac:dyDescent="0.3"/>
  <cols>
    <col min="1" max="1" width="12.77734375" customWidth="1"/>
    <col min="2" max="3" width="21.88671875" customWidth="1"/>
    <col min="4" max="4" width="21.88671875" style="3" customWidth="1"/>
    <col min="5" max="9" width="21.88671875" customWidth="1"/>
  </cols>
  <sheetData>
    <row r="1" spans="1:9" ht="31.8" customHeight="1" x14ac:dyDescent="0.3">
      <c r="A1" s="1" t="s">
        <v>2</v>
      </c>
      <c r="B1" s="1" t="s">
        <v>25</v>
      </c>
      <c r="C1" s="1" t="s">
        <v>26</v>
      </c>
      <c r="D1" s="4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ht="33" customHeight="1" x14ac:dyDescent="0.3">
      <c r="A2" s="2" t="s">
        <v>33</v>
      </c>
      <c r="B2" s="2">
        <v>6</v>
      </c>
      <c r="C2" s="5">
        <v>1.5</v>
      </c>
      <c r="D2" s="5">
        <v>1</v>
      </c>
      <c r="E2" s="2">
        <v>1</v>
      </c>
      <c r="F2" s="2" t="s">
        <v>34</v>
      </c>
      <c r="G2" s="2" t="s">
        <v>35</v>
      </c>
      <c r="H2" s="2">
        <v>0</v>
      </c>
      <c r="I2" s="2">
        <v>1</v>
      </c>
    </row>
    <row r="3" spans="1:9" ht="33" customHeight="1" x14ac:dyDescent="0.3">
      <c r="A3" s="2" t="s">
        <v>36</v>
      </c>
      <c r="B3" s="2">
        <v>3</v>
      </c>
      <c r="C3" s="5">
        <v>1</v>
      </c>
      <c r="D3" s="5">
        <v>0.8</v>
      </c>
      <c r="E3" s="2">
        <v>1</v>
      </c>
      <c r="F3" s="2" t="s">
        <v>35</v>
      </c>
      <c r="G3" s="2" t="s">
        <v>34</v>
      </c>
      <c r="H3" s="2">
        <v>0</v>
      </c>
      <c r="I3" s="2">
        <v>0</v>
      </c>
    </row>
    <row r="4" spans="1:9" ht="33" customHeight="1" x14ac:dyDescent="0.3">
      <c r="A4" s="2" t="s">
        <v>85</v>
      </c>
      <c r="B4" s="2">
        <v>3</v>
      </c>
      <c r="C4" s="5">
        <v>1</v>
      </c>
      <c r="D4" s="5">
        <v>0.8</v>
      </c>
      <c r="E4" s="2">
        <v>1</v>
      </c>
      <c r="F4" s="2" t="s">
        <v>35</v>
      </c>
      <c r="G4" s="2" t="s">
        <v>34</v>
      </c>
      <c r="H4" s="2">
        <v>0</v>
      </c>
      <c r="I4" s="2">
        <v>0</v>
      </c>
    </row>
    <row r="5" spans="1:9" ht="33" customHeight="1" x14ac:dyDescent="0.3">
      <c r="A5" s="2" t="s">
        <v>37</v>
      </c>
      <c r="B5" s="2">
        <v>5</v>
      </c>
      <c r="C5" s="5">
        <v>2</v>
      </c>
      <c r="D5" s="5">
        <v>1</v>
      </c>
      <c r="E5" s="2">
        <v>2</v>
      </c>
      <c r="F5" s="2" t="s">
        <v>34</v>
      </c>
      <c r="G5" s="2" t="s">
        <v>35</v>
      </c>
      <c r="H5" s="2">
        <v>1</v>
      </c>
      <c r="I5" s="2">
        <v>1</v>
      </c>
    </row>
    <row r="6" spans="1:9" ht="33" customHeight="1" x14ac:dyDescent="0.3">
      <c r="A6" s="2" t="s">
        <v>39</v>
      </c>
      <c r="B6" s="2">
        <v>5</v>
      </c>
      <c r="C6" s="5">
        <v>2</v>
      </c>
      <c r="D6" s="5">
        <v>1</v>
      </c>
      <c r="E6" s="2">
        <v>3</v>
      </c>
      <c r="F6" s="2" t="s">
        <v>34</v>
      </c>
      <c r="G6" s="2" t="s">
        <v>35</v>
      </c>
      <c r="H6" s="2">
        <v>1</v>
      </c>
      <c r="I6" s="2">
        <v>1</v>
      </c>
    </row>
    <row r="7" spans="1:9" ht="33" customHeight="1" x14ac:dyDescent="0.3">
      <c r="A7" s="2" t="s">
        <v>40</v>
      </c>
      <c r="B7" s="2">
        <v>4</v>
      </c>
      <c r="C7" s="5">
        <v>1.5</v>
      </c>
      <c r="D7" s="5">
        <v>0.8</v>
      </c>
      <c r="E7" s="2">
        <v>2</v>
      </c>
      <c r="F7" s="2" t="s">
        <v>34</v>
      </c>
      <c r="G7" s="2" t="s">
        <v>34</v>
      </c>
      <c r="H7" s="2">
        <v>0</v>
      </c>
      <c r="I7" s="2">
        <v>0</v>
      </c>
    </row>
    <row r="8" spans="1:9" ht="33" customHeight="1" x14ac:dyDescent="0.3">
      <c r="A8" s="2" t="s">
        <v>41</v>
      </c>
      <c r="B8" s="2">
        <v>5</v>
      </c>
      <c r="C8" s="5">
        <v>1.8</v>
      </c>
      <c r="D8" s="5">
        <v>1.1000000000000001</v>
      </c>
      <c r="E8" s="2">
        <v>2</v>
      </c>
      <c r="F8" s="2" t="s">
        <v>34</v>
      </c>
      <c r="G8" s="2" t="s">
        <v>35</v>
      </c>
      <c r="H8" s="2">
        <v>1</v>
      </c>
      <c r="I8" s="2">
        <v>1</v>
      </c>
    </row>
    <row r="9" spans="1:9" ht="33" customHeight="1" x14ac:dyDescent="0.3">
      <c r="A9" s="2" t="s">
        <v>42</v>
      </c>
      <c r="B9" s="2">
        <v>5</v>
      </c>
      <c r="C9" s="5">
        <v>1.5</v>
      </c>
      <c r="D9" s="5">
        <v>1</v>
      </c>
      <c r="E9" s="2">
        <v>2</v>
      </c>
      <c r="F9" s="2" t="s">
        <v>34</v>
      </c>
      <c r="G9" s="2" t="s">
        <v>35</v>
      </c>
      <c r="H9" s="2">
        <v>1</v>
      </c>
      <c r="I9" s="2">
        <v>1</v>
      </c>
    </row>
    <row r="10" spans="1:9" x14ac:dyDescent="0.3">
      <c r="A10" s="14"/>
    </row>
    <row r="11" spans="1:9" x14ac:dyDescent="0.3">
      <c r="A11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52CF-BFFA-4E00-8637-823455421C83}">
  <dimension ref="A1:B24"/>
  <sheetViews>
    <sheetView topLeftCell="A16" workbookViewId="0">
      <selection activeCell="H7" sqref="H7"/>
    </sheetView>
  </sheetViews>
  <sheetFormatPr defaultRowHeight="14.4" x14ac:dyDescent="0.3"/>
  <cols>
    <col min="1" max="1" width="25" customWidth="1"/>
    <col min="2" max="2" width="15" style="3" customWidth="1"/>
  </cols>
  <sheetData>
    <row r="1" spans="1:2" x14ac:dyDescent="0.3">
      <c r="A1" s="1" t="s">
        <v>0</v>
      </c>
      <c r="B1" s="4" t="s">
        <v>1</v>
      </c>
    </row>
    <row r="2" spans="1:2" ht="26.4" customHeight="1" x14ac:dyDescent="0.3">
      <c r="A2" s="2" t="s">
        <v>43</v>
      </c>
      <c r="B2" s="5">
        <v>0.8</v>
      </c>
    </row>
    <row r="3" spans="1:2" ht="26.4" customHeight="1" x14ac:dyDescent="0.3">
      <c r="A3" s="2" t="s">
        <v>44</v>
      </c>
      <c r="B3" s="5">
        <v>1</v>
      </c>
    </row>
    <row r="4" spans="1:2" ht="26.4" customHeight="1" x14ac:dyDescent="0.3">
      <c r="A4" s="2" t="s">
        <v>45</v>
      </c>
      <c r="B4" s="5">
        <v>1.25</v>
      </c>
    </row>
    <row r="5" spans="1:2" ht="26.4" customHeight="1" x14ac:dyDescent="0.3">
      <c r="A5" s="2" t="s">
        <v>46</v>
      </c>
      <c r="B5" s="5">
        <v>2</v>
      </c>
    </row>
    <row r="6" spans="1:2" ht="26.4" customHeight="1" x14ac:dyDescent="0.3">
      <c r="A6" s="2" t="s">
        <v>47</v>
      </c>
      <c r="B6" s="5">
        <v>3</v>
      </c>
    </row>
    <row r="7" spans="1:2" ht="26.4" customHeight="1" x14ac:dyDescent="0.3">
      <c r="A7" s="2" t="s">
        <v>48</v>
      </c>
      <c r="B7" s="5">
        <v>1</v>
      </c>
    </row>
    <row r="8" spans="1:2" ht="26.4" customHeight="1" x14ac:dyDescent="0.3">
      <c r="A8" s="2" t="s">
        <v>49</v>
      </c>
      <c r="B8" s="5">
        <v>1</v>
      </c>
    </row>
    <row r="9" spans="1:2" ht="26.4" customHeight="1" x14ac:dyDescent="0.3">
      <c r="A9" s="2" t="s">
        <v>50</v>
      </c>
      <c r="B9" s="5">
        <v>1</v>
      </c>
    </row>
    <row r="10" spans="1:2" ht="26.4" customHeight="1" x14ac:dyDescent="0.3">
      <c r="A10" s="2" t="s">
        <v>51</v>
      </c>
      <c r="B10" s="5">
        <v>1</v>
      </c>
    </row>
    <row r="11" spans="1:2" ht="26.4" customHeight="1" x14ac:dyDescent="0.3">
      <c r="A11" s="2" t="s">
        <v>52</v>
      </c>
      <c r="B11" s="5">
        <v>1</v>
      </c>
    </row>
    <row r="12" spans="1:2" ht="26.4" customHeight="1" x14ac:dyDescent="0.3">
      <c r="A12" s="2" t="s">
        <v>53</v>
      </c>
      <c r="B12" s="5">
        <v>1</v>
      </c>
    </row>
    <row r="13" spans="1:2" ht="26.4" customHeight="1" x14ac:dyDescent="0.3">
      <c r="A13" s="2" t="s">
        <v>54</v>
      </c>
      <c r="B13" s="5">
        <v>1</v>
      </c>
    </row>
    <row r="14" spans="1:2" ht="26.4" customHeight="1" x14ac:dyDescent="0.3">
      <c r="A14" s="2" t="s">
        <v>55</v>
      </c>
      <c r="B14" s="5">
        <v>1</v>
      </c>
    </row>
    <row r="15" spans="1:2" ht="26.4" customHeight="1" x14ac:dyDescent="0.3">
      <c r="A15" s="2" t="s">
        <v>56</v>
      </c>
      <c r="B15" s="5">
        <v>1</v>
      </c>
    </row>
    <row r="16" spans="1:2" ht="26.4" customHeight="1" x14ac:dyDescent="0.3">
      <c r="A16" s="2" t="s">
        <v>57</v>
      </c>
      <c r="B16" s="5">
        <v>1</v>
      </c>
    </row>
    <row r="17" spans="1:2" ht="26.4" customHeight="1" x14ac:dyDescent="0.3">
      <c r="A17" s="2" t="s">
        <v>58</v>
      </c>
      <c r="B17" s="5">
        <v>1</v>
      </c>
    </row>
    <row r="18" spans="1:2" ht="26.4" customHeight="1" x14ac:dyDescent="0.3">
      <c r="A18" s="2" t="s">
        <v>59</v>
      </c>
      <c r="B18" s="5">
        <v>3</v>
      </c>
    </row>
    <row r="19" spans="1:2" ht="26.4" customHeight="1" x14ac:dyDescent="0.3">
      <c r="A19" s="2" t="s">
        <v>60</v>
      </c>
      <c r="B19" s="5" t="s">
        <v>61</v>
      </c>
    </row>
    <row r="20" spans="1:2" ht="26.4" customHeight="1" x14ac:dyDescent="0.3">
      <c r="A20" s="2" t="s">
        <v>62</v>
      </c>
      <c r="B20" s="5" t="s">
        <v>38</v>
      </c>
    </row>
    <row r="21" spans="1:2" ht="26.4" customHeight="1" x14ac:dyDescent="0.3">
      <c r="A21" s="2" t="s">
        <v>63</v>
      </c>
      <c r="B21" s="5">
        <v>1.2</v>
      </c>
    </row>
    <row r="22" spans="1:2" ht="26.4" customHeight="1" x14ac:dyDescent="0.3">
      <c r="A22" s="2" t="s">
        <v>64</v>
      </c>
      <c r="B22" s="5">
        <v>3.5</v>
      </c>
    </row>
    <row r="23" spans="1:2" ht="26.4" customHeight="1" x14ac:dyDescent="0.3">
      <c r="A23" s="2" t="s">
        <v>65</v>
      </c>
      <c r="B23" s="5">
        <v>15</v>
      </c>
    </row>
    <row r="24" spans="1:2" ht="26.4" customHeight="1" x14ac:dyDescent="0.3">
      <c r="A24" s="2" t="s">
        <v>66</v>
      </c>
      <c r="B24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Калькулятор</vt:lpstr>
      <vt:lpstr>Справочник</vt:lpstr>
      <vt:lpstr>Коэффициенты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Sokolova Alisa</dc:creator>
  <cp:lastModifiedBy>Sokolova Alisa</cp:lastModifiedBy>
  <dcterms:created xsi:type="dcterms:W3CDTF">2015-06-05T18:17:20Z</dcterms:created>
  <dcterms:modified xsi:type="dcterms:W3CDTF">2026-08-21T13:36:09Z</dcterms:modified>
</cp:coreProperties>
</file>